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hase0_Setup" sheetId="2" state="visible" r:id="rId4"/>
    <sheet name="Phase1_Chain" sheetId="3" state="visible" r:id="rId5"/>
    <sheet name="Handoff_Ru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<sst xmlns="http://schemas.openxmlformats.org/spreadsheetml/2006/main" count="137" uniqueCount="107">
  <si>
    <t xml:space="preserve">X-Retina FYP-I - Team workplan tracker</t>
  </si>
  <si>
    <t xml:space="preserve">Aiman -&gt; Maheen -&gt; Amna | Progress below updates automatically from the Status columns</t>
  </si>
  <si>
    <t xml:space="preserve">Section</t>
  </si>
  <si>
    <t xml:space="preserve">Total</t>
  </si>
  <si>
    <t xml:space="preserve">Not started</t>
  </si>
  <si>
    <t xml:space="preserve">In progress</t>
  </si>
  <si>
    <t xml:space="preserve">Blocked</t>
  </si>
  <si>
    <t xml:space="preserve">Done</t>
  </si>
  <si>
    <t xml:space="preserve">% Done</t>
  </si>
  <si>
    <t xml:space="preserve">Phase 0 - Setup</t>
  </si>
  <si>
    <t xml:space="preserve">Phase 1 - Dependent chain</t>
  </si>
  <si>
    <t xml:space="preserve">Phase 1 by owner</t>
  </si>
  <si>
    <t xml:space="preserve">Steps assigned</t>
  </si>
  <si>
    <t xml:space="preserve">Aiman</t>
  </si>
  <si>
    <t xml:space="preserve">Maheen</t>
  </si>
  <si>
    <t xml:space="preserve">Amna</t>
  </si>
  <si>
    <t xml:space="preserve">How to use</t>
  </si>
  <si>
    <t xml:space="preserve">1. Blue text = cells you edit: Status (dropdown), Date Done (format 08-Oct-2026) and Notes.</t>
  </si>
  <si>
    <t xml:space="preserve">2. Black text = formulas or fixed plan content. Do not overwrite.</t>
  </si>
  <si>
    <t xml:space="preserve">3. Work top to bottom: Phase 0 first, then Phase 1 steps in order. A step starts only after the previous owner's pull request is merged.</t>
  </si>
  <si>
    <t xml:space="preserve">4. Owner colours: Aiman = blue, Maheen = green, Amna = orange, Everyone = grey.</t>
  </si>
  <si>
    <t xml:space="preserve">5. Plan assumptions: plain EfficientNet-B4 is the FYP-I baseline; stratified APTOS split; EyePACS subset of about 10-15k images; 380x380 training size. Change them with your supervisor if needed.</t>
  </si>
  <si>
    <t xml:space="preserve">Phase 0 - One-time setup (before any coding)</t>
  </si>
  <si>
    <t xml:space="preserve">X-Retina FYP-I | Blue cells are for you to edit (Status, Date Done, Notes)</t>
  </si>
  <si>
    <t xml:space="preserve">#</t>
  </si>
  <si>
    <t xml:space="preserve">Task</t>
  </si>
  <si>
    <t xml:space="preserve">Owner</t>
  </si>
  <si>
    <t xml:space="preserve">How</t>
  </si>
  <si>
    <t xml:space="preserve">Done when</t>
  </si>
  <si>
    <t xml:space="preserve">Status</t>
  </si>
  <si>
    <t xml:space="preserve">Date Done</t>
  </si>
  <si>
    <t xml:space="preserve">Notes</t>
  </si>
  <si>
    <t xml:space="preserve">0.1</t>
  </si>
  <si>
    <t xml:space="preserve">Create the private GitHub repo 'x-retina'</t>
  </si>
  <si>
    <t xml:space="preserve">Exact commands come with the scaffold</t>
  </si>
  <si>
    <t xml:space="preserve">Repo exists with the first commit</t>
  </si>
  <si>
    <t xml:space="preserve">0.2</t>
  </si>
  <si>
    <t xml:space="preserve">Invite teammates as collaborators</t>
  </si>
  <si>
    <t xml:space="preserve">Repo &gt; Settings &gt; Collaborators</t>
  </si>
  <si>
    <t xml:space="preserve">Maheen and Amna both accept</t>
  </si>
  <si>
    <t xml:space="preserve">0.3</t>
  </si>
  <si>
    <t xml:space="preserve">Create shared Drive folder XRetina_Shared/ with subfolders processed/, splits/, checkpoints/, outputs/</t>
  </si>
  <si>
    <t xml:space="preserve">Share with both as Editor</t>
  </si>
  <si>
    <t xml:space="preserve">Both can see it under 'Shared with me'</t>
  </si>
  <si>
    <t xml:space="preserve">0.4</t>
  </si>
  <si>
    <t xml:space="preserve">Add the Drive folder as a shortcut in My Drive</t>
  </si>
  <si>
    <t xml:space="preserve">Everyone</t>
  </si>
  <si>
    <t xml:space="preserve">Right-click &gt; Add shortcut to Drive</t>
  </si>
  <si>
    <t xml:space="preserve">Folder appears in each person's Colab file panel</t>
  </si>
  <si>
    <t xml:space="preserve">0.5</t>
  </si>
  <si>
    <t xml:space="preserve">Create a Kaggle API token and save it in Colab Secrets (never commit it)</t>
  </si>
  <si>
    <t xml:space="preserve">Kaggle &gt; Settings &gt; Create New Token</t>
  </si>
  <si>
    <t xml:space="preserve">'kaggle datasets list' works in Colab</t>
  </si>
  <si>
    <t xml:space="preserve">0.6</t>
  </si>
  <si>
    <t xml:space="preserve">Create a GitHub personal access token (repo scope) and save it in Colab Secrets</t>
  </si>
  <si>
    <t xml:space="preserve">GitHub &gt; Settings &gt; Developer settings</t>
  </si>
  <si>
    <t xml:space="preserve">'git clone' works inside Colab</t>
  </si>
  <si>
    <t xml:space="preserve">0.7</t>
  </si>
  <si>
    <t xml:space="preserve">Run the bootstrap cell (mount Drive, clone repo, install requirements) at the top of every notebook</t>
  </si>
  <si>
    <t xml:space="preserve">Cell provided in the repo</t>
  </si>
  <si>
    <t xml:space="preserve">Same code runs for all three</t>
  </si>
  <si>
    <t xml:space="preserve">Note: 'Everyone' rows (0.4-0.7) must be completed by all three members; track in Notes who is still pending.</t>
  </si>
  <si>
    <t xml:space="preserve">Storage warning: free Drive quota is 15 GB. Raw Kaggle downloads stay on Colab's local /content disk, never on Drive. Only processed images, the splits CSV and checkpoints go to the shared Drive, so keep the EyePACS subset small.</t>
  </si>
  <si>
    <t xml:space="preserve">Phase 1 - Dependent chain (who passes to whom)</t>
  </si>
  <si>
    <t xml:space="preserve">Due dates follow the FAST NUCES FYP-I Fall 2026 calendar (end of the stated academic week). Blue cells are for you to edit.</t>
  </si>
  <si>
    <t xml:space="preserve">Step</t>
  </si>
  <si>
    <t xml:space="preserve">Receives from</t>
  </si>
  <si>
    <t xml:space="preserve">Hands off</t>
  </si>
  <si>
    <t xml:space="preserve">Calendar week</t>
  </si>
  <si>
    <t xml:space="preserve">Due date</t>
  </si>
  <si>
    <t xml:space="preserve">Days left</t>
  </si>
  <si>
    <t xml:space="preserve">Download APTOS and the EyePACS subset; apply circular crop, CLAHE and resize; build stratified train/val/test split</t>
  </si>
  <si>
    <t xml:space="preserve">Phase 0 complete</t>
  </si>
  <si>
    <t xml:space="preserve">Processed images in Drive processed/, splits/manifest.csv (path, label, split), merged PR</t>
  </si>
  <si>
    <t xml:space="preserve">Week 8 (5-11 Oct)</t>
  </si>
  <si>
    <t xml:space="preserve">Notebook runs end to end from a fresh Colab, class counts printed, Maheen confirms she can open the data</t>
  </si>
  <si>
    <t xml:space="preserve">Build dataloaders and augmentations, training engine (scheduler, early stopping, checkpointing on validation), and metrics (accuracy, QWK, per-class recall, confusion matrix)</t>
  </si>
  <si>
    <t xml:space="preserve">Aiman's manifest.csv and processed data</t>
  </si>
  <si>
    <t xml:space="preserve">Tested trainer, metrics module and config file, merged to main</t>
  </si>
  <si>
    <t xml:space="preserve">Week 9 (12-18 Oct)</t>
  </si>
  <si>
    <t xml:space="preserve">Smoke test trains 1-2 epochs on a small subset with no errors</t>
  </si>
  <si>
    <t xml:space="preserve">Train and validate baseline EfficientNet-B4 on APTOS, then on the EyePACS subset; record results</t>
  </si>
  <si>
    <t xml:space="preserve">Maheen's trainer, metrics and configs</t>
  </si>
  <si>
    <t xml:space="preserve">Checkpoints in Drive checkpoints/, results table, intermediate-results summary</t>
  </si>
  <si>
    <t xml:space="preserve">Week 10 (19-25 Oct)</t>
  </si>
  <si>
    <t xml:space="preserve">Baseline QWK and accuracy logged - this is the working prototype for the graded Week 10 checkpoint</t>
  </si>
  <si>
    <t xml:space="preserve">In parallel after Step 1: implement Focal Loss and SMOTE on backbone embeddings; compare against cross-entropy</t>
  </si>
  <si>
    <t xml:space="preserve">Maheen's trainer (Step 2)</t>
  </si>
  <si>
    <t xml:space="preserve">Losses and imbalance modules in src/, merged</t>
  </si>
  <si>
    <t xml:space="preserve">Weeks 9-12 (12 Oct-8 Nov)</t>
  </si>
  <si>
    <t xml:space="preserve">Comparison table ready for the mid-term evaluation (6-8 Nov)</t>
  </si>
  <si>
    <t xml:space="preserve">Days left = Due date minus today (recalculates automatically; blank once Status is Done; negative means overdue).</t>
  </si>
  <si>
    <t xml:space="preserve">Source: due dates are the last day of the calendar weeks in FAST_NUCES_FYP-1_Weekly_Calendar_Fall_2026.pdf. Step 4 spans Weeks 9-12 and ends 8 Nov (end of Week 12, mid-term evaluation window).</t>
  </si>
  <si>
    <t xml:space="preserve">Handoff rules</t>
  </si>
  <si>
    <t xml:space="preserve">So nobody waits on, or breaks, anyone else's work</t>
  </si>
  <si>
    <t xml:space="preserve">Rule</t>
  </si>
  <si>
    <t xml:space="preserve">Why</t>
  </si>
  <si>
    <t xml:space="preserve">Code travels by GitHub; data and checkpoints travel by Drive - never the other way</t>
  </si>
  <si>
    <t xml:space="preserve">The data folder is gitignored, and notebooks stay small and mergeable</t>
  </si>
  <si>
    <t xml:space="preserve">Each step ends with a pull request into main; the next person starts only after it is merged</t>
  </si>
  <si>
    <t xml:space="preserve">Everyone builds on the same code</t>
  </si>
  <si>
    <t xml:space="preserve">The giver posts a short note in the repo (what was done, file paths, anything to watch for) and tags the next person</t>
  </si>
  <si>
    <t xml:space="preserve">The receiver does not have to guess</t>
  </si>
  <si>
    <t xml:space="preserve">Never edit someone else's step branch. Use your own: aiman/data, maheen/trainer, amna/baseline</t>
  </si>
  <si>
    <t xml:space="preserve">Avoids merge conflicts</t>
  </si>
  <si>
    <t xml:space="preserve">Start every Colab session with git pull</t>
  </si>
  <si>
    <t xml:space="preserve">Everyone sees the latest code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</si>
</sst>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dd\-mmm\-yyyy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COUNTA(Phase0_Setup!$F$4:$F$10)</f>
        <v>7</v>
      </c>
      <c r="C5" s="5" t="n">
        <f aca="false">COUNTIF(Phase0_Setup!$F$4:$F$10,"Not started")</f>
        <v>7</v>
      </c>
      <c r="D5" s="5" t="n">
        <f aca="false">COUNTIF(Phase0_Setup!$F$4:$F$10,"In progress")</f>
        <v>0</v>
      </c>
      <c r="E5" s="5" t="n">
        <f aca="false">COUNTIF(Phase0_Setup!$F$4:$F$10,"Blocked")</f>
        <v>0</v>
      </c>
      <c r="F5" s="5" t="n">
        <f aca="false">COUNTIF(Phase0_Setup!$F$4:$F$10,"Done")</f>
        <v>0</v>
      </c>
      <c r="G5" s="6" t="n">
        <f aca="false">IF(B5=0,0,F5/B5)</f>
        <v>0</v>
      </c>
    </row>
    <row r="6" customFormat="false" ht="15" hidden="false" customHeight="false" outlineLevel="0" collapsed="false">
      <c r="A6" s="4" t="s">
        <v>10</v>
      </c>
      <c r="B6" s="5" t="n">
        <f aca="false">COUNTA(Phase1_Chain!$I$4:$I$7)</f>
        <v>4</v>
      </c>
      <c r="C6" s="5" t="n">
        <f aca="false">COUNTIF(Phase1_Chain!$I$4:$I$7,"Not started")</f>
        <v>4</v>
      </c>
      <c r="D6" s="5" t="n">
        <f aca="false">COUNTIF(Phase1_Chain!$I$4:$I$7,"In progress")</f>
        <v>0</v>
      </c>
      <c r="E6" s="5" t="n">
        <f aca="false">COUNTIF(Phase1_Chain!$I$4:$I$7,"Blocked")</f>
        <v>0</v>
      </c>
      <c r="F6" s="5" t="n">
        <f aca="false">COUNTIF(Phase1_Chain!$I$4:$I$7,"Done")</f>
        <v>0</v>
      </c>
      <c r="G6" s="6" t="n">
        <f aca="false">IF(B6=0,0,F6/B6)</f>
        <v>0</v>
      </c>
    </row>
    <row r="9" customFormat="false" ht="30" hidden="false" customHeight="true" outlineLevel="0" collapsed="false">
      <c r="A9" s="3" t="s">
        <v>11</v>
      </c>
      <c r="B9" s="3" t="s">
        <v>12</v>
      </c>
      <c r="C9" s="3" t="s">
        <v>7</v>
      </c>
      <c r="D9" s="3" t="s">
        <v>8</v>
      </c>
      <c r="E9" s="7"/>
      <c r="F9" s="7"/>
      <c r="G9" s="7"/>
    </row>
    <row r="10" customFormat="false" ht="15" hidden="false" customHeight="false" outlineLevel="0" collapsed="false">
      <c r="A10" s="8" t="s">
        <v>13</v>
      </c>
      <c r="B10" s="5" t="n">
        <f aca="false">COUNTIF(Phase1_Chain!$B$4:$B$7,A10)</f>
        <v>2</v>
      </c>
      <c r="C10" s="5" t="n">
        <f aca="false">COUNTIFS(Phase1_Chain!$B$4:$B$7,A10,Phase1_Chain!$I$4:$I$7,"Done")</f>
        <v>0</v>
      </c>
      <c r="D10" s="6" t="n">
        <f aca="false">IF(B10=0,0,C10/B10)</f>
        <v>0</v>
      </c>
    </row>
    <row r="11" customFormat="false" ht="15" hidden="false" customHeight="false" outlineLevel="0" collapsed="false">
      <c r="A11" s="9" t="s">
        <v>14</v>
      </c>
      <c r="B11" s="5" t="n">
        <f aca="false">COUNTIF(Phase1_Chain!$B$4:$B$7,A11)</f>
        <v>1</v>
      </c>
      <c r="C11" s="5" t="n">
        <f aca="false">COUNTIFS(Phase1_Chain!$B$4:$B$7,A11,Phase1_Chain!$I$4:$I$7,"Done")</f>
        <v>0</v>
      </c>
      <c r="D11" s="6" t="n">
        <f aca="false">IF(B11=0,0,C11/B11)</f>
        <v>0</v>
      </c>
    </row>
    <row r="12" customFormat="false" ht="15" hidden="false" customHeight="false" outlineLevel="0" collapsed="false">
      <c r="A12" s="10" t="s">
        <v>15</v>
      </c>
      <c r="B12" s="5" t="n">
        <f aca="false">COUNTIF(Phase1_Chain!$B$4:$B$7,A12)</f>
        <v>1</v>
      </c>
      <c r="C12" s="5" t="n">
        <f aca="false">COUNTIFS(Phase1_Chain!$B$4:$B$7,A12,Phase1_Chain!$I$4:$I$7,"Done")</f>
        <v>0</v>
      </c>
      <c r="D12" s="6" t="n">
        <f aca="false">IF(B12=0,0,C12/B12)</f>
        <v>0</v>
      </c>
    </row>
    <row r="15" customFormat="false" ht="15" hidden="false" customHeight="false" outlineLevel="0" collapsed="false">
      <c r="A15" s="11" t="s">
        <v>16</v>
      </c>
    </row>
    <row r="16" customFormat="false" ht="15" hidden="false" customHeight="false" outlineLevel="0" collapsed="false">
      <c r="A16" s="12" t="s">
        <v>17</v>
      </c>
    </row>
    <row r="17" customFormat="false" ht="15" hidden="false" customHeight="false" outlineLevel="0" collapsed="false">
      <c r="A17" s="12" t="s">
        <v>18</v>
      </c>
    </row>
    <row r="18" customFormat="false" ht="15" hidden="false" customHeight="false" outlineLevel="0" collapsed="false">
      <c r="A18" s="12" t="s">
        <v>19</v>
      </c>
    </row>
    <row r="19" customFormat="false" ht="15" hidden="false" customHeight="false" outlineLevel="0" collapsed="false">
      <c r="A19" s="12" t="s">
        <v>20</v>
      </c>
    </row>
    <row r="20" customFormat="false" ht="15" hidden="false" customHeight="false" outlineLevel="0" collapsed="false">
      <c r="A20" s="1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5" min="4" style="0" width="38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3" customFormat="false" ht="30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customFormat="false" ht="15" hidden="false" customHeight="false" outlineLevel="0" collapsed="false">
      <c r="A4" s="5" t="s">
        <v>32</v>
      </c>
      <c r="B4" s="4" t="s">
        <v>33</v>
      </c>
      <c r="C4" s="13" t="s">
        <v>13</v>
      </c>
      <c r="D4" s="4" t="s">
        <v>34</v>
      </c>
      <c r="E4" s="4" t="s">
        <v>35</v>
      </c>
      <c r="F4" s="14" t="s">
        <v>4</v>
      </c>
      <c r="G4" s="15"/>
      <c r="H4" s="16"/>
    </row>
    <row r="5" customFormat="false" ht="15" hidden="false" customHeight="false" outlineLevel="0" collapsed="false">
      <c r="A5" s="5" t="s">
        <v>36</v>
      </c>
      <c r="B5" s="4" t="s">
        <v>37</v>
      </c>
      <c r="C5" s="13" t="s">
        <v>13</v>
      </c>
      <c r="D5" s="4" t="s">
        <v>38</v>
      </c>
      <c r="E5" s="4" t="s">
        <v>39</v>
      </c>
      <c r="F5" s="14" t="s">
        <v>4</v>
      </c>
      <c r="G5" s="15"/>
      <c r="H5" s="16"/>
    </row>
    <row r="6" customFormat="false" ht="23.85" hidden="false" customHeight="false" outlineLevel="0" collapsed="false">
      <c r="A6" s="5" t="s">
        <v>40</v>
      </c>
      <c r="B6" s="4" t="s">
        <v>41</v>
      </c>
      <c r="C6" s="13" t="s">
        <v>13</v>
      </c>
      <c r="D6" s="4" t="s">
        <v>42</v>
      </c>
      <c r="E6" s="4" t="s">
        <v>43</v>
      </c>
      <c r="F6" s="14" t="s">
        <v>4</v>
      </c>
      <c r="G6" s="15"/>
      <c r="H6" s="16"/>
    </row>
    <row r="7" customFormat="false" ht="23.85" hidden="false" customHeight="false" outlineLevel="0" collapsed="false">
      <c r="A7" s="5" t="s">
        <v>44</v>
      </c>
      <c r="B7" s="4" t="s">
        <v>45</v>
      </c>
      <c r="C7" s="17" t="s">
        <v>46</v>
      </c>
      <c r="D7" s="4" t="s">
        <v>47</v>
      </c>
      <c r="E7" s="4" t="s">
        <v>48</v>
      </c>
      <c r="F7" s="14" t="s">
        <v>4</v>
      </c>
      <c r="G7" s="15"/>
      <c r="H7" s="16"/>
    </row>
    <row r="8" customFormat="false" ht="23.85" hidden="false" customHeight="false" outlineLevel="0" collapsed="false">
      <c r="A8" s="5" t="s">
        <v>49</v>
      </c>
      <c r="B8" s="4" t="s">
        <v>50</v>
      </c>
      <c r="C8" s="17" t="s">
        <v>46</v>
      </c>
      <c r="D8" s="4" t="s">
        <v>51</v>
      </c>
      <c r="E8" s="4" t="s">
        <v>52</v>
      </c>
      <c r="F8" s="14" t="s">
        <v>4</v>
      </c>
      <c r="G8" s="15"/>
      <c r="H8" s="16"/>
    </row>
    <row r="9" customFormat="false" ht="23.85" hidden="false" customHeight="false" outlineLevel="0" collapsed="false">
      <c r="A9" s="5" t="s">
        <v>53</v>
      </c>
      <c r="B9" s="4" t="s">
        <v>54</v>
      </c>
      <c r="C9" s="17" t="s">
        <v>46</v>
      </c>
      <c r="D9" s="4" t="s">
        <v>55</v>
      </c>
      <c r="E9" s="4" t="s">
        <v>56</v>
      </c>
      <c r="F9" s="14" t="s">
        <v>4</v>
      </c>
      <c r="G9" s="15"/>
      <c r="H9" s="16"/>
    </row>
    <row r="10" customFormat="false" ht="23.85" hidden="false" customHeight="false" outlineLevel="0" collapsed="false">
      <c r="A10" s="5" t="s">
        <v>57</v>
      </c>
      <c r="B10" s="4" t="s">
        <v>58</v>
      </c>
      <c r="C10" s="17" t="s">
        <v>46</v>
      </c>
      <c r="D10" s="4" t="s">
        <v>59</v>
      </c>
      <c r="E10" s="4" t="s">
        <v>60</v>
      </c>
      <c r="F10" s="14" t="s">
        <v>4</v>
      </c>
      <c r="G10" s="15"/>
      <c r="H10" s="16"/>
    </row>
    <row r="12" customFormat="false" ht="15" hidden="false" customHeight="false" outlineLevel="0" collapsed="false">
      <c r="A12" s="2" t="s">
        <v>61</v>
      </c>
    </row>
    <row r="13" customFormat="false" ht="15" hidden="false" customHeight="false" outlineLevel="0" collapsed="false">
      <c r="A13" s="2" t="s">
        <v>62</v>
      </c>
    </row>
  </sheetData>
  <conditionalFormatting sqref="F4:F1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false" errorStyle="stop" operator="between" showDropDown="false" showErrorMessage="false" showInputMessage="false" sqref="F4:F1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3" customFormat="false" ht="30" hidden="false" customHeight="true" outlineLevel="0" collapsed="false">
      <c r="A3" s="3" t="s">
        <v>65</v>
      </c>
      <c r="B3" s="3" t="s">
        <v>26</v>
      </c>
      <c r="C3" s="3" t="s">
        <v>25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28</v>
      </c>
      <c r="I3" s="3" t="s">
        <v>29</v>
      </c>
      <c r="J3" s="3" t="s">
        <v>30</v>
      </c>
      <c r="K3" s="3" t="s">
        <v>70</v>
      </c>
      <c r="L3" s="3" t="s">
        <v>31</v>
      </c>
    </row>
    <row r="4" customFormat="false" ht="35.05" hidden="false" customHeight="false" outlineLevel="0" collapsed="false">
      <c r="A4" s="5" t="n">
        <v>1</v>
      </c>
      <c r="B4" s="13" t="s">
        <v>13</v>
      </c>
      <c r="C4" s="4" t="s">
        <v>71</v>
      </c>
      <c r="D4" s="4" t="s">
        <v>72</v>
      </c>
      <c r="E4" s="4" t="s">
        <v>73</v>
      </c>
      <c r="F4" s="5" t="s">
        <v>74</v>
      </c>
      <c r="G4" s="18" t="n">
        <v>46306</v>
      </c>
      <c r="H4" s="4" t="s">
        <v>75</v>
      </c>
      <c r="I4" s="14" t="s">
        <v>4</v>
      </c>
      <c r="J4" s="15"/>
      <c r="K4" s="19" t="n">
        <f aca="true">IF(I4="Done","",G4-TODAY())</f>
        <v>7</v>
      </c>
      <c r="L4" s="16"/>
    </row>
    <row r="5" customFormat="false" ht="46.25" hidden="false" customHeight="false" outlineLevel="0" collapsed="false">
      <c r="A5" s="5" t="n">
        <v>2</v>
      </c>
      <c r="B5" s="20" t="s">
        <v>14</v>
      </c>
      <c r="C5" s="4" t="s">
        <v>76</v>
      </c>
      <c r="D5" s="4" t="s">
        <v>77</v>
      </c>
      <c r="E5" s="4" t="s">
        <v>78</v>
      </c>
      <c r="F5" s="5" t="s">
        <v>79</v>
      </c>
      <c r="G5" s="18" t="n">
        <v>46313</v>
      </c>
      <c r="H5" s="4" t="s">
        <v>80</v>
      </c>
      <c r="I5" s="14" t="s">
        <v>4</v>
      </c>
      <c r="J5" s="15"/>
      <c r="K5" s="19" t="n">
        <f aca="true">IF(I5="Done","",G5-TODAY())</f>
        <v>14</v>
      </c>
      <c r="L5" s="16"/>
    </row>
    <row r="6" customFormat="false" ht="35.05" hidden="false" customHeight="false" outlineLevel="0" collapsed="false">
      <c r="A6" s="5" t="n">
        <v>3</v>
      </c>
      <c r="B6" s="21" t="s">
        <v>15</v>
      </c>
      <c r="C6" s="4" t="s">
        <v>81</v>
      </c>
      <c r="D6" s="4" t="s">
        <v>82</v>
      </c>
      <c r="E6" s="4" t="s">
        <v>83</v>
      </c>
      <c r="F6" s="5" t="s">
        <v>84</v>
      </c>
      <c r="G6" s="18" t="n">
        <v>46320</v>
      </c>
      <c r="H6" s="4" t="s">
        <v>85</v>
      </c>
      <c r="I6" s="14" t="s">
        <v>4</v>
      </c>
      <c r="J6" s="15"/>
      <c r="K6" s="19" t="n">
        <f aca="true">IF(I6="Done","",G6-TODAY())</f>
        <v>21</v>
      </c>
      <c r="L6" s="16"/>
    </row>
    <row r="7" customFormat="false" ht="23.85" hidden="false" customHeight="false" outlineLevel="0" collapsed="false">
      <c r="A7" s="5" t="n">
        <v>4</v>
      </c>
      <c r="B7" s="13" t="s">
        <v>13</v>
      </c>
      <c r="C7" s="4" t="s">
        <v>86</v>
      </c>
      <c r="D7" s="4" t="s">
        <v>87</v>
      </c>
      <c r="E7" s="4" t="s">
        <v>88</v>
      </c>
      <c r="F7" s="5" t="s">
        <v>89</v>
      </c>
      <c r="G7" s="18" t="n">
        <v>46334</v>
      </c>
      <c r="H7" s="4" t="s">
        <v>90</v>
      </c>
      <c r="I7" s="14" t="s">
        <v>4</v>
      </c>
      <c r="J7" s="15"/>
      <c r="K7" s="19" t="n">
        <f aca="true">IF(I7="Done","",G7-TODAY())</f>
        <v>35</v>
      </c>
      <c r="L7" s="16"/>
    </row>
    <row r="9" customFormat="false" ht="15" hidden="false" customHeight="false" outlineLevel="0" collapsed="false">
      <c r="A9" s="2" t="s">
        <v>91</v>
      </c>
    </row>
    <row r="10" customFormat="false" ht="15" hidden="false" customHeight="false" outlineLevel="0" collapsed="false">
      <c r="A10" s="2" t="s">
        <v>92</v>
      </c>
    </row>
  </sheetData>
  <conditionalFormatting sqref="I4:I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false" errorStyle="stop" operator="between" showDropDown="false" showErrorMessage="false" showInputMessage="false" sqref="I4:I7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3" customFormat="false" ht="30" hidden="false" customHeight="true" outlineLevel="0" collapsed="false">
      <c r="A3" s="3" t="s">
        <v>24</v>
      </c>
      <c r="B3" s="3" t="s">
        <v>95</v>
      </c>
      <c r="C3" s="3" t="s">
        <v>96</v>
      </c>
    </row>
    <row r="4" customFormat="false" ht="23.85" hidden="false" customHeight="false" outlineLevel="0" collapsed="false">
      <c r="A4" s="5" t="n">
        <v>1</v>
      </c>
      <c r="B4" s="4" t="s">
        <v>97</v>
      </c>
      <c r="C4" s="4" t="s">
        <v>98</v>
      </c>
    </row>
    <row r="5" customFormat="false" ht="15" hidden="false" customHeight="false" outlineLevel="0" collapsed="false">
      <c r="A5" s="5" t="n">
        <v>2</v>
      </c>
      <c r="B5" s="4" t="s">
        <v>99</v>
      </c>
      <c r="C5" s="4" t="s">
        <v>100</v>
      </c>
    </row>
    <row r="6" customFormat="false" ht="23.85" hidden="false" customHeight="false" outlineLevel="0" collapsed="false">
      <c r="A6" s="5" t="n">
        <v>3</v>
      </c>
      <c r="B6" s="4" t="s">
        <v>101</v>
      </c>
      <c r="C6" s="4" t="s">
        <v>102</v>
      </c>
    </row>
    <row r="7" customFormat="false" ht="15" hidden="false" customHeight="false" outlineLevel="0" collapsed="false">
      <c r="A7" s="5" t="n">
        <v>4</v>
      </c>
      <c r="B7" s="4" t="s">
        <v>103</v>
      </c>
      <c r="C7" s="4" t="s">
        <v>104</v>
      </c>
    </row>
    <row r="8" customFormat="false" ht="15" hidden="false" customHeight="false" outlineLevel="0" collapsed="false">
      <c r="A8" s="5" t="n">
        <v>5</v>
      </c>
      <c r="B8" s="4" t="s">
        <v>105</v>
      </c>
      <c r="C8" s="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2026-10-04T13:59:33Z</dcterms:created>
  <dc:creator>openpyxl</dc:creator>
  <dc:description/>
  <dc:language>en-US</dc:language>
  <cp:lastModifiedBy/>
  <dcterms:modified xsi:type="dcterms:W3CDTF">2026-10-04T13:59:33Z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